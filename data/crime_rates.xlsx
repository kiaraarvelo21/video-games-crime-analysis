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ra/Desktop/IV/"/>
    </mc:Choice>
  </mc:AlternateContent>
  <xr:revisionPtr revIDLastSave="0" documentId="8_{BA6C343F-C3EF-F34A-8C30-6927EC8AAED6}" xr6:coauthVersionLast="47" xr6:coauthVersionMax="47" xr10:uidLastSave="{00000000-0000-0000-0000-000000000000}"/>
  <bookViews>
    <workbookView xWindow="4300" yWindow="2700" windowWidth="27640" windowHeight="16940" xr2:uid="{9601D5B7-F627-CA40-8BA2-7D9B52EA77AF}"/>
  </bookViews>
  <sheets>
    <sheet name="Crime Rate" sheetId="1" r:id="rId1"/>
  </sheets>
  <definedNames>
    <definedName name="_xlnm._FilterDatabase" localSheetId="0" hidden="1">'Crime Rate'!$A$1:$D$1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</calcChain>
</file>

<file path=xl/sharedStrings.xml><?xml version="1.0" encoding="utf-8"?>
<sst xmlns="http://schemas.openxmlformats.org/spreadsheetml/2006/main" count="8" uniqueCount="8">
  <si>
    <t>NEW EU CR</t>
  </si>
  <si>
    <t>NEW JP CR</t>
  </si>
  <si>
    <t>NEW NA CR</t>
  </si>
  <si>
    <t>New Year</t>
  </si>
  <si>
    <t>EU</t>
  </si>
  <si>
    <t>JP</t>
  </si>
  <si>
    <t>NA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</si>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</sst>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shrinkToFi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D2F4-5611-234E-9819-FE92B0198E04}">
  <dimension ref="A1:R29"/>
  <sheetViews>
    <sheetView tabSelected="1" zoomScale="140" zoomScaleNormal="70" workbookViewId="0">
      <selection activeCell="S22" sqref="S22"/>
    </sheetView>
  </sheetViews>
  <sheetFormatPr baseColWidth="10" defaultColWidth="8.83203125" defaultRowHeight="15" x14ac:dyDescent="0.2"/>
  <cols>
    <col min="1" max="1" width="9.1640625" bestFit="1" customWidth="1"/>
    <col min="2" max="2" width="7.83203125" bestFit="1" customWidth="1"/>
    <col min="3" max="3" width="7.1640625" bestFit="1" customWidth="1"/>
    <col min="4" max="4" width="7.6640625" bestFit="1" customWidth="1"/>
    <col min="5" max="5" width="11.1640625" bestFit="1" customWidth="1"/>
    <col min="6" max="6" width="11.33203125" bestFit="1" customWidth="1"/>
    <col min="7" max="7" width="10.5" bestFit="1" customWidth="1"/>
    <col min="8" max="8" width="11" bestFit="1" customWidth="1"/>
  </cols>
  <sheetData>
    <row r="1" spans="1:18" x14ac:dyDescent="0.2">
      <c r="A1" s="2" t="s">
        <v>7</v>
      </c>
      <c r="B1" s="2" t="s">
        <v>6</v>
      </c>
      <c r="C1" s="2" t="s">
        <v>5</v>
      </c>
      <c r="D1" s="2" t="s">
        <v>4</v>
      </c>
      <c r="E1" s="2" t="s">
        <v>3</v>
      </c>
      <c r="F1" s="4" t="s">
        <v>2</v>
      </c>
      <c r="G1" s="4" t="s">
        <v>1</v>
      </c>
      <c r="H1" s="4" t="s">
        <v>0</v>
      </c>
      <c r="I1" s="4"/>
    </row>
    <row r="2" spans="1:18" x14ac:dyDescent="0.2">
      <c r="A2" s="2">
        <v>1990</v>
      </c>
      <c r="B2" s="2">
        <v>5.8500000000000005</v>
      </c>
      <c r="C2" s="1">
        <v>0.5</v>
      </c>
      <c r="D2" s="1">
        <v>1.44</v>
      </c>
      <c r="E2">
        <f>A2+4</f>
        <v>1994</v>
      </c>
      <c r="F2" s="2">
        <v>5.5</v>
      </c>
      <c r="G2" s="1">
        <v>0.6</v>
      </c>
      <c r="H2" s="2">
        <v>1.5</v>
      </c>
      <c r="I2" s="4"/>
    </row>
    <row r="3" spans="1:18" x14ac:dyDescent="0.2">
      <c r="A3" s="2">
        <v>1991</v>
      </c>
      <c r="B3" s="2">
        <v>6.1999999999999993</v>
      </c>
      <c r="C3" s="1">
        <v>0.5</v>
      </c>
      <c r="D3" s="1">
        <v>1.4999999999999998</v>
      </c>
      <c r="E3">
        <f>A3+4</f>
        <v>1995</v>
      </c>
      <c r="F3" s="2">
        <v>5.05</v>
      </c>
      <c r="G3" s="1">
        <v>0.6</v>
      </c>
      <c r="H3" s="2">
        <v>1.48</v>
      </c>
    </row>
    <row r="4" spans="1:18" x14ac:dyDescent="0.2">
      <c r="A4" s="2">
        <v>1992</v>
      </c>
      <c r="B4" s="2">
        <v>5.8999999999999995</v>
      </c>
      <c r="C4" s="1">
        <v>0.5</v>
      </c>
      <c r="D4" s="1">
        <v>1.52</v>
      </c>
      <c r="E4">
        <f>A4+4</f>
        <v>1996</v>
      </c>
      <c r="F4" s="2">
        <v>4.7</v>
      </c>
      <c r="G4" s="1">
        <v>0.5</v>
      </c>
      <c r="H4" s="2">
        <v>1.36</v>
      </c>
    </row>
    <row r="5" spans="1:18" x14ac:dyDescent="0.2">
      <c r="A5" s="2">
        <v>1993</v>
      </c>
      <c r="B5" s="2">
        <v>5.8000000000000007</v>
      </c>
      <c r="C5" s="1">
        <v>0.6</v>
      </c>
      <c r="D5" s="2">
        <v>1.6</v>
      </c>
      <c r="E5">
        <f>A5+4</f>
        <v>1997</v>
      </c>
      <c r="F5" s="2">
        <v>4.3499999999999996</v>
      </c>
      <c r="G5" s="1">
        <v>0.6</v>
      </c>
      <c r="H5" s="2">
        <v>1.3199999999999998</v>
      </c>
    </row>
    <row r="6" spans="1:18" x14ac:dyDescent="0.2">
      <c r="A6" s="2">
        <v>1994</v>
      </c>
      <c r="B6" s="2">
        <v>5.5</v>
      </c>
      <c r="C6" s="1">
        <v>0.6</v>
      </c>
      <c r="D6" s="2">
        <v>1.5</v>
      </c>
      <c r="E6">
        <f>A6+4</f>
        <v>1998</v>
      </c>
      <c r="F6" s="2">
        <v>4.05</v>
      </c>
      <c r="G6" s="1">
        <v>0.6</v>
      </c>
      <c r="H6" s="2">
        <v>1.2749999999999999</v>
      </c>
    </row>
    <row r="7" spans="1:18" x14ac:dyDescent="0.2">
      <c r="A7" s="2">
        <v>1995</v>
      </c>
      <c r="B7" s="2">
        <v>5.05</v>
      </c>
      <c r="C7" s="1">
        <v>0.6</v>
      </c>
      <c r="D7" s="2">
        <v>1.48</v>
      </c>
      <c r="E7">
        <f>A7+4</f>
        <v>1999</v>
      </c>
      <c r="F7" s="2">
        <v>3.6999999999999997</v>
      </c>
      <c r="G7" s="1">
        <v>0.6</v>
      </c>
      <c r="H7" s="2">
        <v>1.2749999999999999</v>
      </c>
    </row>
    <row r="8" spans="1:18" x14ac:dyDescent="0.2">
      <c r="A8" s="2">
        <v>1996</v>
      </c>
      <c r="B8" s="2">
        <v>4.7</v>
      </c>
      <c r="C8" s="1">
        <v>0.5</v>
      </c>
      <c r="D8" s="2">
        <v>1.36</v>
      </c>
      <c r="E8">
        <f>A8+4</f>
        <v>2000</v>
      </c>
      <c r="F8" s="2">
        <v>3.65</v>
      </c>
      <c r="G8" s="1">
        <v>0.5</v>
      </c>
      <c r="H8" s="2">
        <v>1.52</v>
      </c>
    </row>
    <row r="9" spans="1:18" x14ac:dyDescent="0.2">
      <c r="A9" s="2">
        <v>1997</v>
      </c>
      <c r="B9" s="2">
        <v>4.3499999999999996</v>
      </c>
      <c r="C9" s="1">
        <v>0.6</v>
      </c>
      <c r="D9" s="2">
        <v>1.3199999999999998</v>
      </c>
      <c r="E9">
        <f>A9+4</f>
        <v>2001</v>
      </c>
      <c r="F9" s="2">
        <v>4.25</v>
      </c>
      <c r="G9" s="1">
        <v>0.5</v>
      </c>
      <c r="H9" s="2">
        <v>1.58</v>
      </c>
    </row>
    <row r="10" spans="1:18" x14ac:dyDescent="0.2">
      <c r="A10" s="2">
        <v>1998</v>
      </c>
      <c r="B10" s="2">
        <v>4.05</v>
      </c>
      <c r="C10" s="1">
        <v>0.6</v>
      </c>
      <c r="D10" s="2">
        <v>1.2749999999999999</v>
      </c>
      <c r="E10">
        <f>A10+4</f>
        <v>2002</v>
      </c>
      <c r="F10" s="2">
        <v>3.75</v>
      </c>
      <c r="G10" s="1">
        <v>0.5</v>
      </c>
      <c r="H10" s="2">
        <v>1.72</v>
      </c>
    </row>
    <row r="11" spans="1:18" x14ac:dyDescent="0.2">
      <c r="A11" s="2">
        <v>1999</v>
      </c>
      <c r="B11" s="2">
        <v>3.6999999999999997</v>
      </c>
      <c r="C11" s="1">
        <v>0.6</v>
      </c>
      <c r="D11" s="2">
        <v>1.2749999999999999</v>
      </c>
      <c r="E11">
        <f>A11+4</f>
        <v>2003</v>
      </c>
      <c r="F11" s="2">
        <v>3.7</v>
      </c>
      <c r="G11" s="1">
        <v>0.5</v>
      </c>
      <c r="H11" s="2">
        <v>1.44</v>
      </c>
    </row>
    <row r="12" spans="1:18" x14ac:dyDescent="0.2">
      <c r="A12" s="2">
        <v>2000</v>
      </c>
      <c r="B12" s="2">
        <v>3.65</v>
      </c>
      <c r="C12" s="1">
        <v>0.5</v>
      </c>
      <c r="D12" s="2">
        <v>1.52</v>
      </c>
      <c r="E12">
        <f>A12+4</f>
        <v>2004</v>
      </c>
      <c r="F12" s="2">
        <v>3.75</v>
      </c>
      <c r="G12" s="1">
        <v>0.5</v>
      </c>
      <c r="H12" s="2">
        <v>1.54</v>
      </c>
    </row>
    <row r="13" spans="1:18" x14ac:dyDescent="0.2">
      <c r="A13" s="2">
        <v>2001</v>
      </c>
      <c r="B13" s="2">
        <v>4.25</v>
      </c>
      <c r="C13" s="1">
        <v>0.5</v>
      </c>
      <c r="D13" s="2">
        <v>1.58</v>
      </c>
      <c r="E13">
        <f>A13+4</f>
        <v>2005</v>
      </c>
      <c r="F13" s="2">
        <v>3.9000000000000004</v>
      </c>
      <c r="G13" s="1">
        <v>0.5</v>
      </c>
      <c r="H13" s="2">
        <v>1.3800000000000001</v>
      </c>
    </row>
    <row r="14" spans="1:18" x14ac:dyDescent="0.2">
      <c r="A14" s="2">
        <v>2002</v>
      </c>
      <c r="B14" s="2">
        <v>3.75</v>
      </c>
      <c r="C14" s="1">
        <v>0.5</v>
      </c>
      <c r="D14" s="2">
        <v>1.72</v>
      </c>
      <c r="E14">
        <f>A14+4</f>
        <v>2006</v>
      </c>
      <c r="F14" s="2">
        <v>3.8499999999999996</v>
      </c>
      <c r="G14" s="1">
        <v>0.5</v>
      </c>
      <c r="H14" s="2">
        <v>1.3199999999999998</v>
      </c>
      <c r="R14" s="3"/>
    </row>
    <row r="15" spans="1:18" x14ac:dyDescent="0.2">
      <c r="A15" s="2">
        <v>2003</v>
      </c>
      <c r="B15" s="2">
        <v>3.7</v>
      </c>
      <c r="C15" s="1">
        <v>0.5</v>
      </c>
      <c r="D15" s="2">
        <v>1.44</v>
      </c>
      <c r="E15">
        <f>A15+4</f>
        <v>2007</v>
      </c>
      <c r="F15" s="2">
        <v>3.75</v>
      </c>
      <c r="G15" s="1">
        <v>0.4</v>
      </c>
      <c r="H15" s="2">
        <v>1.3599999999999999</v>
      </c>
    </row>
    <row r="16" spans="1:18" x14ac:dyDescent="0.2">
      <c r="A16" s="2">
        <v>2004</v>
      </c>
      <c r="B16" s="2">
        <v>3.75</v>
      </c>
      <c r="C16" s="1">
        <v>0.5</v>
      </c>
      <c r="D16" s="2">
        <v>1.54</v>
      </c>
      <c r="E16">
        <f>A16+4</f>
        <v>2008</v>
      </c>
      <c r="F16" s="2">
        <v>3.6</v>
      </c>
      <c r="G16" s="1">
        <v>0.5</v>
      </c>
      <c r="H16" s="2">
        <v>1.2400000000000002</v>
      </c>
    </row>
    <row r="17" spans="1:8" x14ac:dyDescent="0.2">
      <c r="A17" s="2">
        <v>2005</v>
      </c>
      <c r="B17" s="2">
        <v>3.9000000000000004</v>
      </c>
      <c r="C17" s="1">
        <v>0.5</v>
      </c>
      <c r="D17" s="2">
        <v>1.3800000000000001</v>
      </c>
      <c r="E17">
        <f>A17+4</f>
        <v>2009</v>
      </c>
      <c r="F17" s="2">
        <v>3.4</v>
      </c>
      <c r="G17" s="1">
        <v>0.4</v>
      </c>
      <c r="H17" s="2">
        <v>1.1800000000000002</v>
      </c>
    </row>
    <row r="18" spans="1:8" x14ac:dyDescent="0.2">
      <c r="A18" s="2">
        <v>2006</v>
      </c>
      <c r="B18" s="2">
        <v>3.8499999999999996</v>
      </c>
      <c r="C18" s="1">
        <v>0.5</v>
      </c>
      <c r="D18" s="2">
        <v>1.3199999999999998</v>
      </c>
      <c r="E18">
        <f>A18+4</f>
        <v>2010</v>
      </c>
      <c r="F18" s="2">
        <v>3.2</v>
      </c>
      <c r="G18" s="1">
        <v>0.4</v>
      </c>
      <c r="H18" s="2">
        <v>1.1800000000000002</v>
      </c>
    </row>
    <row r="19" spans="1:8" x14ac:dyDescent="0.2">
      <c r="A19" s="2">
        <v>2007</v>
      </c>
      <c r="B19" s="2">
        <v>3.75</v>
      </c>
      <c r="C19" s="1">
        <v>0.4</v>
      </c>
      <c r="D19" s="2">
        <v>1.3599999999999999</v>
      </c>
      <c r="E19">
        <f>A19+4</f>
        <v>2011</v>
      </c>
      <c r="F19" s="2">
        <v>3.25</v>
      </c>
      <c r="G19" s="1">
        <v>0.3</v>
      </c>
      <c r="H19" s="2">
        <v>1.1800000000000002</v>
      </c>
    </row>
    <row r="20" spans="1:8" x14ac:dyDescent="0.2">
      <c r="A20" s="2">
        <v>2008</v>
      </c>
      <c r="B20" s="2">
        <v>3.6</v>
      </c>
      <c r="C20" s="1">
        <v>0.5</v>
      </c>
      <c r="D20" s="2">
        <v>1.2400000000000002</v>
      </c>
      <c r="E20">
        <f>A20+4</f>
        <v>2012</v>
      </c>
      <c r="F20" s="2">
        <v>3.1500000000000004</v>
      </c>
      <c r="G20" s="1">
        <v>0.3</v>
      </c>
      <c r="H20" s="2">
        <v>1.06</v>
      </c>
    </row>
    <row r="21" spans="1:8" x14ac:dyDescent="0.2">
      <c r="A21" s="2">
        <v>2009</v>
      </c>
      <c r="B21" s="2">
        <v>3.4</v>
      </c>
      <c r="C21" s="1">
        <v>0.4</v>
      </c>
      <c r="D21" s="2">
        <v>1.1800000000000002</v>
      </c>
      <c r="E21">
        <f>A21+4</f>
        <v>2013</v>
      </c>
      <c r="F21" s="2">
        <v>2.95</v>
      </c>
      <c r="G21" s="1">
        <v>0.3</v>
      </c>
      <c r="H21" s="2">
        <v>1.06</v>
      </c>
    </row>
    <row r="22" spans="1:8" x14ac:dyDescent="0.2">
      <c r="A22" s="2">
        <v>2010</v>
      </c>
      <c r="B22" s="2">
        <v>3.2</v>
      </c>
      <c r="C22" s="1">
        <v>0.4</v>
      </c>
      <c r="D22" s="2">
        <v>1.1800000000000002</v>
      </c>
      <c r="E22">
        <f>A22+4</f>
        <v>2014</v>
      </c>
      <c r="F22" s="2">
        <v>3</v>
      </c>
      <c r="G22" s="1">
        <v>0.3</v>
      </c>
      <c r="H22" s="2">
        <v>1.1199999999999999</v>
      </c>
    </row>
    <row r="23" spans="1:8" x14ac:dyDescent="0.2">
      <c r="A23" s="2">
        <v>2011</v>
      </c>
      <c r="B23" s="2">
        <v>3.25</v>
      </c>
      <c r="C23" s="1">
        <v>0.3</v>
      </c>
      <c r="D23" s="2">
        <v>1.1800000000000002</v>
      </c>
      <c r="E23">
        <f>A23+4</f>
        <v>2015</v>
      </c>
      <c r="F23" s="2">
        <v>3.35</v>
      </c>
      <c r="G23" s="1">
        <v>0.3</v>
      </c>
      <c r="H23" s="2">
        <v>1.2399999999999998</v>
      </c>
    </row>
    <row r="24" spans="1:8" x14ac:dyDescent="0.2">
      <c r="A24" s="2">
        <v>2012</v>
      </c>
      <c r="B24" s="2">
        <v>3.1500000000000004</v>
      </c>
      <c r="C24" s="1">
        <v>0.3</v>
      </c>
      <c r="D24" s="2">
        <v>1.06</v>
      </c>
      <c r="E24">
        <f>A24+4</f>
        <v>2016</v>
      </c>
      <c r="F24" s="2">
        <v>3.5500000000000003</v>
      </c>
      <c r="G24" s="1">
        <v>0.3</v>
      </c>
      <c r="H24" s="2">
        <v>1.1599999999999997</v>
      </c>
    </row>
    <row r="25" spans="1:8" x14ac:dyDescent="0.2">
      <c r="A25" s="2">
        <v>2013</v>
      </c>
      <c r="B25" s="2">
        <v>2.95</v>
      </c>
      <c r="C25" s="1">
        <v>0.3</v>
      </c>
      <c r="D25" s="2">
        <v>1.06</v>
      </c>
      <c r="E25">
        <f>A25+4</f>
        <v>2017</v>
      </c>
      <c r="F25" s="2">
        <v>3.55</v>
      </c>
      <c r="G25" s="1">
        <v>0.2</v>
      </c>
      <c r="H25" s="2">
        <v>1.1600000000000001</v>
      </c>
    </row>
    <row r="26" spans="1:8" x14ac:dyDescent="0.2">
      <c r="A26" s="2">
        <v>2014</v>
      </c>
      <c r="B26" s="2">
        <v>3</v>
      </c>
      <c r="C26" s="1">
        <v>0.3</v>
      </c>
      <c r="D26" s="2">
        <v>1.1199999999999999</v>
      </c>
      <c r="E26">
        <f>A26+4</f>
        <v>2018</v>
      </c>
      <c r="F26" s="2">
        <f>-0.0719*23 + 4.6888</f>
        <v>3.0350999999999995</v>
      </c>
      <c r="G26" s="1">
        <f xml:space="preserve"> -0.016*18 + 0.6464</f>
        <v>0.35839999999999994</v>
      </c>
      <c r="H26">
        <f xml:space="preserve"> -0.0169*21+ 1.5305</f>
        <v>1.1756</v>
      </c>
    </row>
    <row r="27" spans="1:8" x14ac:dyDescent="0.2">
      <c r="A27" s="2">
        <v>2015</v>
      </c>
      <c r="B27" s="2">
        <v>3.35</v>
      </c>
      <c r="C27" s="1">
        <v>0.3</v>
      </c>
      <c r="D27" s="2">
        <v>1.2399999999999998</v>
      </c>
      <c r="E27">
        <f>A27+4</f>
        <v>2019</v>
      </c>
      <c r="F27" s="2">
        <f>-0.0719*19 + 4.6888</f>
        <v>3.3226999999999993</v>
      </c>
      <c r="G27" s="1">
        <f xml:space="preserve"> -0.016*19 + 0.6464</f>
        <v>0.34239999999999998</v>
      </c>
      <c r="H27">
        <f xml:space="preserve"> -0.0169*22 + 1.5305</f>
        <v>1.1587000000000001</v>
      </c>
    </row>
    <row r="28" spans="1:8" x14ac:dyDescent="0.2">
      <c r="A28" s="2">
        <v>2016</v>
      </c>
      <c r="B28" s="2">
        <v>3.5500000000000003</v>
      </c>
      <c r="C28" s="1">
        <v>0.3</v>
      </c>
      <c r="D28" s="2">
        <v>1.1599999999999997</v>
      </c>
      <c r="E28">
        <f>A28+4</f>
        <v>2020</v>
      </c>
      <c r="F28" s="2">
        <f>-0.0719*20 + 4.6888</f>
        <v>3.2507999999999995</v>
      </c>
      <c r="G28" s="1">
        <f xml:space="preserve"> -0.016*20 + 0.6464</f>
        <v>0.32639999999999997</v>
      </c>
      <c r="H28">
        <f xml:space="preserve"> -0.0169*23 + 1.5305</f>
        <v>1.1417999999999999</v>
      </c>
    </row>
    <row r="29" spans="1:8" x14ac:dyDescent="0.2">
      <c r="A29" s="2">
        <v>2017</v>
      </c>
      <c r="B29" s="2">
        <v>3.55</v>
      </c>
      <c r="C29" s="1">
        <v>0.2</v>
      </c>
      <c r="D29" s="2">
        <v>1.1600000000000001</v>
      </c>
      <c r="E29">
        <f>A29+4</f>
        <v>2021</v>
      </c>
      <c r="F29" s="2">
        <f>-0.0719*21 + 4.6888</f>
        <v>3.1788999999999996</v>
      </c>
      <c r="G29" s="1">
        <f xml:space="preserve"> -0.016*21 + 0.6464</f>
        <v>0.31039999999999995</v>
      </c>
      <c r="H29">
        <f xml:space="preserve"> -0.0169*24 + 1.5305</f>
        <v>1.1249</v>
      </c>
    </row>
  </sheetData>
  <autoFilter ref="A1:D1" xr:uid="{00000000-0009-0000-0000-000002000000}">
    <sortState xmlns:xlrd2="http://schemas.microsoft.com/office/spreadsheetml/2017/richdata2" ref="A2:D29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2023-06-09T11:24:52Z</dcterms:created>
  <dcterms:modified xsi:type="dcterms:W3CDTF">2023-06-09T13:55:03Z</dcterms:modified>
</cp:coreProperties>
</file>